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8370" activeTab="2"/>
  </bookViews>
  <sheets>
    <sheet name="CES" sheetId="1" r:id="rId1"/>
    <sheet name="R" sheetId="2" r:id="rId2"/>
    <sheet name="RESULT" sheetId="4" r:id="rId3"/>
    <sheet name="RESULT1" sheetId="3" r:id="rId4"/>
  </sheets>
  <calcPr calcId="144525" concurrentCalc="0"/>
</workbook>
</file>

<file path=xl/sharedStrings.xml><?xml version="1.0" encoding="utf-8"?>
<sst xmlns="http://schemas.openxmlformats.org/spreadsheetml/2006/main" count="20">
  <si>
    <t>债券代码</t>
  </si>
  <si>
    <t>债券全称</t>
  </si>
  <si>
    <t>债券简称</t>
  </si>
  <si>
    <t>债券类型</t>
  </si>
  <si>
    <t>发行市场</t>
  </si>
  <si>
    <t>发行起始日</t>
  </si>
  <si>
    <t>本期发行规模</t>
  </si>
  <si>
    <t>期限</t>
  </si>
  <si>
    <t>起息日</t>
  </si>
  <si>
    <t>到期日</t>
  </si>
  <si>
    <t>利率类型</t>
  </si>
  <si>
    <t>票面利率</t>
  </si>
  <si>
    <t>A</t>
  </si>
  <si>
    <t>M</t>
  </si>
  <si>
    <t>N</t>
  </si>
  <si>
    <t>B</t>
  </si>
  <si>
    <t>D</t>
  </si>
  <si>
    <t>T</t>
  </si>
  <si>
    <t>S</t>
  </si>
  <si>
    <t>P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</si>
</sst>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1">
    <font>
      <sz val="12"/>
      <name val="宋体"/>
      <charset val="134"/>
    </font>
    <font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1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16" borderId="4" applyNumberFormat="0" applyFont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6" fillId="0" borderId="6" applyNumberFormat="0" applyFill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0" fillId="15" borderId="3" applyNumberFormat="0" applyAlignment="0" applyProtection="0">
      <alignment vertical="center"/>
    </xf>
    <xf numFmtId="0" fontId="20" fillId="15" borderId="7" applyNumberFormat="0" applyAlignment="0" applyProtection="0">
      <alignment vertical="center"/>
    </xf>
    <xf numFmtId="0" fontId="2" fillId="10" borderId="1" applyNumberForma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4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colors>
    <mruColors>
      <color rgb="00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L7"/>
  <sheetViews>
    <sheetView workbookViewId="0">
      <selection activeCell="N2" sqref="N2"/>
    </sheetView>
  </sheetViews>
  <sheetFormatPr defaultColWidth="9" defaultRowHeight="14.25" outlineLevelRow="6"/>
  <cols>
    <col min="6" max="6" width="10.875" customWidth="1"/>
    <col min="7" max="7" width="12.625" customWidth="1"/>
    <col min="8" max="8" width="5.75" customWidth="1"/>
    <col min="9" max="10" width="11.5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">
      <c r="A2">
        <v>136</v>
      </c>
      <c r="B2" t="s">
        <v>12</v>
      </c>
      <c r="C2" t="s">
        <v>13</v>
      </c>
    </row>
    <row r="3" spans="1:3">
      <c r="A3">
        <v>152</v>
      </c>
      <c r="B3" t="s">
        <v>12</v>
      </c>
      <c r="C3" t="s">
        <v>13</v>
      </c>
    </row>
    <row r="4" spans="1:4">
      <c r="A4">
        <v>169</v>
      </c>
      <c r="B4" t="s">
        <v>12</v>
      </c>
      <c r="C4" t="s">
        <v>14</v>
      </c>
      <c r="D4">
        <v>5</v>
      </c>
    </row>
    <row r="5" spans="1:7">
      <c r="A5">
        <v>352</v>
      </c>
      <c r="B5" t="s">
        <v>15</v>
      </c>
      <c r="C5" t="s">
        <v>14</v>
      </c>
      <c r="D5">
        <v>8</v>
      </c>
      <c r="G5">
        <v>3</v>
      </c>
    </row>
    <row r="6" spans="1:10">
      <c r="A6">
        <v>116</v>
      </c>
      <c r="B6" t="s">
        <v>16</v>
      </c>
      <c r="C6" t="s">
        <v>13</v>
      </c>
      <c r="J6" s="5"/>
    </row>
    <row r="7" spans="1:9">
      <c r="A7">
        <v>111</v>
      </c>
      <c r="C7" t="s">
        <v>17</v>
      </c>
      <c r="I7" s="5">
        <v>42685</v>
      </c>
    </row>
  </sheetData>
  <pageMargins left="0.75" right="0.75" top="1" bottom="1" header="0.509027777777778" footer="0.509027777777778"/>
  <pageSetup paperSize="9" orientation="portrait"/>
  <headerFooter alignWithMargins="0" scaleWithDoc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L7"/>
  <sheetViews>
    <sheetView workbookViewId="0">
      <selection activeCell="C12" sqref="C12"/>
    </sheetView>
  </sheetViews>
  <sheetFormatPr defaultColWidth="9" defaultRowHeight="14.25" outlineLevelRow="6"/>
  <cols>
    <col min="10" max="10" width="13.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">
      <c r="A2">
        <v>152</v>
      </c>
      <c r="B2" t="s">
        <v>18</v>
      </c>
      <c r="C2" t="s">
        <v>19</v>
      </c>
    </row>
    <row r="3" spans="1:12">
      <c r="A3">
        <v>169</v>
      </c>
      <c r="B3" t="s">
        <v>12</v>
      </c>
      <c r="C3" t="s">
        <v>14</v>
      </c>
      <c r="D3">
        <v>5</v>
      </c>
      <c r="E3">
        <v>6</v>
      </c>
      <c r="F3">
        <v>6</v>
      </c>
      <c r="G3">
        <v>6</v>
      </c>
      <c r="H3">
        <v>6</v>
      </c>
      <c r="I3">
        <v>6</v>
      </c>
      <c r="J3">
        <v>6</v>
      </c>
      <c r="K3">
        <v>6</v>
      </c>
      <c r="L3">
        <v>6</v>
      </c>
    </row>
    <row r="4" spans="1:7">
      <c r="A4">
        <v>352</v>
      </c>
      <c r="B4" t="s">
        <v>15</v>
      </c>
      <c r="D4">
        <v>8</v>
      </c>
      <c r="G4">
        <v>2</v>
      </c>
    </row>
    <row r="5" spans="1:3">
      <c r="A5">
        <v>136</v>
      </c>
      <c r="B5" t="s">
        <v>17</v>
      </c>
      <c r="C5" t="s">
        <v>13</v>
      </c>
    </row>
    <row r="6" spans="1:10">
      <c r="A6">
        <v>216</v>
      </c>
      <c r="B6" t="s">
        <v>16</v>
      </c>
      <c r="C6" t="s">
        <v>13</v>
      </c>
      <c r="D6">
        <v>10</v>
      </c>
      <c r="J6" s="5">
        <v>42658</v>
      </c>
    </row>
    <row r="7" spans="1:10">
      <c r="A7">
        <v>116</v>
      </c>
      <c r="B7" t="s">
        <v>16</v>
      </c>
      <c r="C7" t="s">
        <v>13</v>
      </c>
      <c r="D7">
        <v>1</v>
      </c>
      <c r="J7" s="5">
        <v>42657</v>
      </c>
    </row>
  </sheetData>
  <pageMargins left="0.75" right="0.75" top="1" bottom="1" header="0.509027777777778" footer="0.509027777777778"/>
  <pageSetup paperSize="9" orientation="portrait"/>
  <headerFooter alignWithMargins="0" scaleWithDoc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L7"/>
  <sheetViews>
    <sheetView tabSelected="1" zoomScale="115" zoomScaleNormal="115" workbookViewId="0">
      <selection activeCell="N9" sqref="N9"/>
    </sheetView>
  </sheetViews>
  <sheetFormatPr defaultColWidth="9" defaultRowHeight="14.25" outlineLevelRow="6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">
      <c r="A2">
        <v>136</v>
      </c>
      <c r="B2" s="6" t="s">
        <v>17</v>
      </c>
      <c r="C2" t="s">
        <v>13</v>
      </c>
    </row>
    <row r="3" spans="1:3">
      <c r="A3">
        <v>152</v>
      </c>
      <c r="B3" s="6" t="s">
        <v>18</v>
      </c>
      <c r="C3" s="6" t="s">
        <v>19</v>
      </c>
    </row>
    <row r="4" spans="1:12">
      <c r="A4">
        <v>169</v>
      </c>
      <c r="B4" t="s">
        <v>12</v>
      </c>
      <c r="C4" t="s">
        <v>14</v>
      </c>
      <c r="D4">
        <v>5</v>
      </c>
      <c r="E4" s="6">
        <v>6</v>
      </c>
      <c r="F4" s="6">
        <v>6</v>
      </c>
      <c r="G4" s="6">
        <v>6</v>
      </c>
      <c r="H4" s="6">
        <v>6</v>
      </c>
      <c r="I4" s="6">
        <v>6</v>
      </c>
      <c r="J4" s="6">
        <v>6</v>
      </c>
      <c r="K4" s="6">
        <v>6</v>
      </c>
      <c r="L4" s="6">
        <v>6</v>
      </c>
    </row>
    <row r="5" spans="1:7">
      <c r="A5">
        <v>352</v>
      </c>
      <c r="B5" t="s">
        <v>15</v>
      </c>
      <c r="C5" s="7" t="s">
        <v>14</v>
      </c>
      <c r="D5">
        <v>8</v>
      </c>
      <c r="G5" s="6">
        <v>2</v>
      </c>
    </row>
    <row r="6" spans="1:10">
      <c r="A6">
        <v>116</v>
      </c>
      <c r="B6" t="s">
        <v>16</v>
      </c>
      <c r="C6" t="s">
        <v>13</v>
      </c>
      <c r="D6" s="6">
        <v>1</v>
      </c>
      <c r="J6" s="6">
        <v>42657</v>
      </c>
    </row>
    <row r="7" spans="1:1">
      <c r="A7">
        <v>111</v>
      </c>
    </row>
  </sheetData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L7"/>
  <sheetViews>
    <sheetView workbookViewId="0">
      <selection activeCell="E26" sqref="E26"/>
    </sheetView>
  </sheetViews>
  <sheetFormatPr defaultColWidth="9" defaultRowHeight="14.25" outlineLevelRow="6"/>
  <cols>
    <col min="6" max="6" width="10.25" customWidth="1"/>
    <col min="7" max="7" width="12.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2">
      <c r="A2">
        <v>136</v>
      </c>
      <c r="B2" s="1" t="str">
        <f>IF(VLOOKUP($A2,'R'!$A:$L,2,0)&lt;&gt;VLOOKUP(A2,CES!$A:$L,2,0),VLOOKUP(A2,'R'!$A:$L,2,0),"")</f>
        <v>T</v>
      </c>
    </row>
    <row r="3" spans="1:2">
      <c r="A3">
        <v>152</v>
      </c>
      <c r="B3" s="1" t="str">
        <f>IF(VLOOKUP($A3,'R'!$A:$L,2,0)&lt;&gt;VLOOKUP(A3,CES!$A:$L,2,0),VLOOKUP(A3,'R'!$A:$L,2,0),"")</f>
        <v>S</v>
      </c>
    </row>
    <row r="4" spans="1:12">
      <c r="A4">
        <v>169</v>
      </c>
      <c r="B4" t="s">
        <v>12</v>
      </c>
      <c r="C4" t="s">
        <v>14</v>
      </c>
      <c r="D4" s="2">
        <v>5</v>
      </c>
      <c r="E4" s="1">
        <v>6</v>
      </c>
      <c r="F4" s="1">
        <v>6</v>
      </c>
      <c r="G4" s="1">
        <v>6</v>
      </c>
      <c r="H4" s="1">
        <v>6</v>
      </c>
      <c r="I4" s="1">
        <v>6</v>
      </c>
      <c r="J4" s="1">
        <v>6</v>
      </c>
      <c r="K4" s="1">
        <v>6</v>
      </c>
      <c r="L4" s="1">
        <v>6</v>
      </c>
    </row>
    <row r="5" spans="1:4">
      <c r="A5">
        <v>352</v>
      </c>
      <c r="B5" t="s">
        <v>15</v>
      </c>
      <c r="C5" s="3" t="s">
        <v>14</v>
      </c>
      <c r="D5">
        <v>8</v>
      </c>
    </row>
    <row r="6" spans="1:7">
      <c r="A6">
        <v>116</v>
      </c>
      <c r="B6" t="s">
        <v>16</v>
      </c>
      <c r="G6" s="1">
        <v>3</v>
      </c>
    </row>
    <row r="7" spans="1:9">
      <c r="A7" s="4">
        <v>111</v>
      </c>
      <c r="C7" t="s">
        <v>17</v>
      </c>
      <c r="D7">
        <v>1</v>
      </c>
      <c r="I7" s="5">
        <v>42685</v>
      </c>
    </row>
  </sheetData>
  <pageMargins left="0.75" right="0.75" top="1" bottom="1" header="0.509027777777778" footer="0.509027777777778"/>
  <pageSetup paperSize="9" orientation="portrait"/>
  <headerFooter alignWithMargins="0" scaleWithDoc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CES</vt:lpstr>
      <vt:lpstr>R</vt:lpstr>
      <vt:lpstr>RESULT</vt:lpstr>
      <vt:lpstr>RESULT1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张锐</dc:creator>
  <cp:revision>1</cp:revision>
  <dcterms:created xsi:type="dcterms:W3CDTF">2016-12-12T09:12:00Z</dcterms:created>
  <dcterms:modified xsi:type="dcterms:W3CDTF">2016-12-14T07:53:05Z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