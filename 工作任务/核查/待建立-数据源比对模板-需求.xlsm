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4035" windowWidth="9210" windowHeight="6015" activeTab="2"/>
  </bookViews>
  <sheets>
    <sheet name="CES" sheetId="1" r:id="rId1"/>
    <sheet name="R" sheetId="2" r:id="rId2"/>
    <sheet name="RESULT" sheetId="3" r:id="rId3"/>
  </sheets>
  <calcPr calcId="144525" concurrentCalc="0"/>
</workbook>
</file>

<file path=xl/sharedStrings.xml><?xml version="1.0" encoding="utf-8"?>
<sst xmlns="http://schemas.openxmlformats.org/spreadsheetml/2006/main" count="21">
  <si>
    <t>债券代码</t>
  </si>
  <si>
    <t>债券全称</t>
  </si>
  <si>
    <t>债券简称</t>
  </si>
  <si>
    <t>债券类型</t>
  </si>
  <si>
    <t>发行市场</t>
  </si>
  <si>
    <t>发行起始日</t>
  </si>
  <si>
    <t>本期发行规模</t>
  </si>
  <si>
    <t>期限</t>
  </si>
  <si>
    <t>起息日</t>
  </si>
  <si>
    <t>到期日</t>
  </si>
  <si>
    <t>利率类型</t>
  </si>
  <si>
    <t>票面利率</t>
  </si>
  <si>
    <t>A</t>
  </si>
  <si>
    <t>M</t>
  </si>
  <si>
    <t>N</t>
  </si>
  <si>
    <t>B</t>
  </si>
  <si>
    <t>D</t>
  </si>
  <si>
    <t>T</t>
  </si>
  <si>
    <t>S</t>
  </si>
  <si>
    <t>P</t>
  </si>
  <si>
    <t>需求：在RESULT表中实现CES表中数据与R中核查修改，并通过标注单元格颜色直观看出信息来源。
1.债券代码以CES表为准，核查信息列栏以CES为准；
2 CES的债券代码未在R中找到，在RESULT表中标志该证券代码为红(如111）,列栏中的信息复制CES表；
3 遍历CES的债券代码，查询R表:如果CES中债券信息（指第二列列头后的信息）与R表（该信息不为空）中不一致，在RESULT表中相应单元格标志颜色为蓝，并赋值为R表中对应信息；如果CES中债券信息（指第二列列头后的信息）在R表相应位置中展示该信息为空时,在result表中相应单元格标志颜色为浅绿并返回主表相应值（如352的债券简称）；如果CES中债券信息（指第二列列头后的信息）在R表相应位置中展示一致，在RESULT表中返回主表对应字段信息（单元格不标注颜色）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</si>
</sst>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2"/>
      <name val="宋体"/>
      <charset val="134"/>
    </font>
    <font>
      <u/>
      <sz val="11"/>
      <color rgb="FF800080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65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9" fillId="18" borderId="2" applyNumberFormat="0" applyFont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0" fillId="19" borderId="8" applyNumberFormat="0" applyAlignment="0" applyProtection="0">
      <alignment vertical="center"/>
    </xf>
    <xf numFmtId="0" fontId="12" fillId="19" borderId="1" applyNumberFormat="0" applyAlignment="0" applyProtection="0">
      <alignment vertical="center"/>
    </xf>
    <xf numFmtId="0" fontId="14" fillId="20" borderId="3" applyNumberFormat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colors>
    <mruColors>
      <color rgb="00000000"/>
    </mruColors>
  </colors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L7"/>
  <sheetViews>
    <sheetView workbookViewId="0">
      <selection activeCell="D7" sqref="D7"/>
    </sheetView>
  </sheetViews>
  <sheetFormatPr defaultColWidth="9" defaultRowHeight="14.25" outlineLevelRow="6"/>
  <cols>
    <col min="6" max="6" width="10.875" customWidth="1"/>
    <col min="7" max="7" width="12.625" customWidth="1"/>
    <col min="8" max="8" width="5.75" customWidth="1"/>
    <col min="9" max="10" width="11.5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">
      <c r="A2">
        <v>136</v>
      </c>
      <c r="B2" t="s">
        <v>12</v>
      </c>
      <c r="C2" t="s">
        <v>13</v>
      </c>
    </row>
    <row r="3" spans="1:3">
      <c r="A3">
        <v>152</v>
      </c>
      <c r="B3" t="s">
        <v>12</v>
      </c>
      <c r="C3" t="s">
        <v>13</v>
      </c>
    </row>
    <row r="4" spans="1:4">
      <c r="A4">
        <v>169</v>
      </c>
      <c r="B4" t="s">
        <v>12</v>
      </c>
      <c r="C4" t="s">
        <v>14</v>
      </c>
      <c r="D4">
        <v>5</v>
      </c>
    </row>
    <row r="5" spans="1:7">
      <c r="A5">
        <v>352</v>
      </c>
      <c r="B5" t="s">
        <v>15</v>
      </c>
      <c r="C5" t="s">
        <v>14</v>
      </c>
      <c r="D5">
        <v>8</v>
      </c>
      <c r="G5">
        <v>3</v>
      </c>
    </row>
    <row r="6" spans="1:10">
      <c r="A6">
        <v>116</v>
      </c>
      <c r="B6" t="s">
        <v>16</v>
      </c>
      <c r="C6" t="s">
        <v>13</v>
      </c>
      <c r="J6" s="6"/>
    </row>
    <row r="7" spans="1:9">
      <c r="A7">
        <v>111</v>
      </c>
      <c r="C7" t="s">
        <v>17</v>
      </c>
      <c r="I7" s="6">
        <v>42685</v>
      </c>
    </row>
  </sheetData>
  <pageMargins left="0.75" right="0.75" top="1" bottom="1" header="0.509027777777778" footer="0.509027777777778"/>
  <pageSetup paperSize="9" orientation="portrait"/>
  <headerFooter alignWithMargins="0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L7"/>
  <sheetViews>
    <sheetView workbookViewId="0">
      <selection activeCell="C12" sqref="C12"/>
    </sheetView>
  </sheetViews>
  <sheetFormatPr defaultColWidth="9" defaultRowHeight="14.25" outlineLevelRow="6"/>
  <cols>
    <col min="10" max="10" width="13.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">
      <c r="A2">
        <v>152</v>
      </c>
      <c r="B2" t="s">
        <v>18</v>
      </c>
      <c r="C2" t="s">
        <v>19</v>
      </c>
    </row>
    <row r="3" spans="1:12">
      <c r="A3">
        <v>169</v>
      </c>
      <c r="B3" t="s">
        <v>12</v>
      </c>
      <c r="C3" t="s">
        <v>14</v>
      </c>
      <c r="D3">
        <v>5</v>
      </c>
      <c r="E3">
        <v>6</v>
      </c>
      <c r="F3">
        <v>6</v>
      </c>
      <c r="G3">
        <v>6</v>
      </c>
      <c r="H3">
        <v>6</v>
      </c>
      <c r="I3">
        <v>6</v>
      </c>
      <c r="J3">
        <v>6</v>
      </c>
      <c r="K3">
        <v>6</v>
      </c>
      <c r="L3">
        <v>6</v>
      </c>
    </row>
    <row r="4" spans="1:7">
      <c r="A4">
        <v>352</v>
      </c>
      <c r="B4" t="s">
        <v>15</v>
      </c>
      <c r="D4">
        <v>8</v>
      </c>
      <c r="G4">
        <v>2</v>
      </c>
    </row>
    <row r="5" spans="1:3">
      <c r="A5">
        <v>136</v>
      </c>
      <c r="B5" t="s">
        <v>17</v>
      </c>
      <c r="C5" t="s">
        <v>13</v>
      </c>
    </row>
    <row r="6" spans="1:10">
      <c r="A6">
        <v>216</v>
      </c>
      <c r="B6" t="s">
        <v>16</v>
      </c>
      <c r="C6" t="s">
        <v>13</v>
      </c>
      <c r="D6">
        <v>10</v>
      </c>
      <c r="J6" s="6">
        <v>42658</v>
      </c>
    </row>
    <row r="7" spans="1:10">
      <c r="A7">
        <v>116</v>
      </c>
      <c r="B7" t="s">
        <v>16</v>
      </c>
      <c r="C7" t="s">
        <v>13</v>
      </c>
      <c r="D7">
        <v>1</v>
      </c>
      <c r="J7" s="6">
        <v>42657</v>
      </c>
    </row>
  </sheetData>
  <pageMargins left="0.75" right="0.75" top="1" bottom="1" header="0.509027777777778" footer="0.509027777777778"/>
  <pageSetup paperSize="9" orientation="portrait"/>
  <headerFooter alignWithMargins="0" scaleWithDoc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L11"/>
  <sheetViews>
    <sheetView tabSelected="1" workbookViewId="0">
      <selection activeCell="A11" sqref="A11:L11"/>
    </sheetView>
  </sheetViews>
  <sheetFormatPr defaultColWidth="9" defaultRowHeight="14.25"/>
  <cols>
    <col min="6" max="6" width="10.25" customWidth="1"/>
    <col min="7" max="7" width="12.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2">
      <c r="A2">
        <v>136</v>
      </c>
      <c r="B2" s="1" t="str">
        <f>IF(VLOOKUP($A2,'R'!$A:$L,2,0)&lt;&gt;VLOOKUP(A2,CES!$A:$L,2,0),VLOOKUP(A2,'R'!$A:$L,2,0),"")</f>
        <v>T</v>
      </c>
    </row>
    <row r="3" spans="1:2">
      <c r="A3">
        <v>152</v>
      </c>
      <c r="B3" s="1" t="str">
        <f>IF(VLOOKUP($A3,'R'!$A:$L,2,0)&lt;&gt;VLOOKUP(A3,CES!$A:$L,2,0),VLOOKUP(A3,'R'!$A:$L,2,0),"")</f>
        <v>S</v>
      </c>
    </row>
    <row r="4" spans="1:12">
      <c r="A4">
        <v>169</v>
      </c>
      <c r="B4" t="s">
        <v>12</v>
      </c>
      <c r="C4" t="s">
        <v>14</v>
      </c>
      <c r="D4" s="2">
        <v>5</v>
      </c>
      <c r="E4" s="1">
        <v>6</v>
      </c>
      <c r="F4" s="1">
        <v>6</v>
      </c>
      <c r="G4" s="1">
        <v>6</v>
      </c>
      <c r="H4" s="1">
        <v>6</v>
      </c>
      <c r="I4" s="1">
        <v>6</v>
      </c>
      <c r="J4" s="1">
        <v>6</v>
      </c>
      <c r="K4" s="1">
        <v>6</v>
      </c>
      <c r="L4" s="1">
        <v>6</v>
      </c>
    </row>
    <row r="5" spans="1:4">
      <c r="A5">
        <v>352</v>
      </c>
      <c r="B5" t="s">
        <v>15</v>
      </c>
      <c r="C5" s="3" t="s">
        <v>14</v>
      </c>
      <c r="D5">
        <v>8</v>
      </c>
    </row>
    <row r="6" spans="1:7">
      <c r="A6">
        <v>116</v>
      </c>
      <c r="B6" t="s">
        <v>16</v>
      </c>
      <c r="G6" s="1">
        <v>3</v>
      </c>
    </row>
    <row r="7" spans="1:9">
      <c r="A7" s="4">
        <v>111</v>
      </c>
      <c r="C7" t="s">
        <v>17</v>
      </c>
      <c r="D7">
        <v>1</v>
      </c>
      <c r="I7" s="6">
        <v>42685</v>
      </c>
    </row>
    <row r="10" ht="68" customHeight="1"/>
    <row r="11" ht="156" customHeight="1" spans="1:12">
      <c r="A11" s="5" t="s">
        <v>20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</sheetData>
  <mergeCells count="1">
    <mergeCell ref="A11:L11"/>
  </mergeCells>
  <pageMargins left="0.75" right="0.75" top="1" bottom="1" header="0.509027777777778" footer="0.509027777777778"/>
  <pageSetup paperSize="9" orientation="portrait"/>
  <headerFooter alignWithMargins="0" scaleWithDoc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CES</vt:lpstr>
      <vt:lpstr>R</vt:lpstr>
      <vt:lpstr>RESULT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张锐</dc:creator>
  <cp:revision>1</cp:revision>
  <dcterms:created xsi:type="dcterms:W3CDTF">2016-12-12T09:12:00Z</dcterms:created>
  <dcterms:modified xsi:type="dcterms:W3CDTF">2016-12-14T08:04:38Z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